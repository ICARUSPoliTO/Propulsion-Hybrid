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Università\magistrale polito\team ICARUS\ibrido\iniettori\modello_0D\Propulsion-Hybrid\Nozzle\"/>
    </mc:Choice>
  </mc:AlternateContent>
  <xr:revisionPtr revIDLastSave="0" documentId="13_ncr:1_{78C37693-762E-4939-A490-D9784CA6CC6C}" xr6:coauthVersionLast="47" xr6:coauthVersionMax="47" xr10:uidLastSave="{00000000-0000-0000-0000-000000000000}"/>
  <bookViews>
    <workbookView xWindow="-57720" yWindow="-4170" windowWidth="29040" windowHeight="15720" xr2:uid="{CC28AACB-EA2E-4ECD-A246-C4619FF216B2}"/>
  </bookViews>
  <sheets>
    <sheet name="Wall Co-Ordina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/>
  <c r="G3" i="2"/>
  <c r="H3" i="2" s="1"/>
</calcChain>
</file>

<file path=xl/sharedStrings.xml><?xml version="1.0" encoding="utf-8"?>
<sst xmlns="http://schemas.openxmlformats.org/spreadsheetml/2006/main" count="11" uniqueCount="11">
  <si>
    <r>
      <t>r</t>
    </r>
    <r>
      <rPr>
        <vertAlign val="subscript"/>
        <sz val="12"/>
        <color theme="1"/>
        <rFont val="Aptos Narrow"/>
        <family val="2"/>
        <scheme val="minor"/>
      </rPr>
      <t>t</t>
    </r>
    <r>
      <rPr>
        <sz val="12"/>
        <color theme="1"/>
        <rFont val="Aptos Narrow"/>
        <family val="2"/>
        <scheme val="minor"/>
      </rPr>
      <t xml:space="preserve"> [m]</t>
    </r>
  </si>
  <si>
    <r>
      <t>r</t>
    </r>
    <r>
      <rPr>
        <vertAlign val="subscript"/>
        <sz val="12"/>
        <color theme="1"/>
        <rFont val="Aptos Narrow"/>
        <family val="2"/>
        <scheme val="minor"/>
      </rPr>
      <t>e</t>
    </r>
    <r>
      <rPr>
        <sz val="12"/>
        <color theme="1"/>
        <rFont val="Aptos Narrow"/>
        <family val="2"/>
        <scheme val="minor"/>
      </rPr>
      <t xml:space="preserve"> [m]</t>
    </r>
  </si>
  <si>
    <r>
      <t>A</t>
    </r>
    <r>
      <rPr>
        <vertAlign val="subscript"/>
        <sz val="12"/>
        <color theme="1"/>
        <rFont val="Aptos Narrow"/>
        <family val="2"/>
        <scheme val="minor"/>
      </rPr>
      <t>t</t>
    </r>
    <r>
      <rPr>
        <sz val="12"/>
        <color theme="1"/>
        <rFont val="Aptos Narrow"/>
        <family val="2"/>
        <scheme val="minor"/>
      </rPr>
      <t xml:space="preserve"> [m</t>
    </r>
    <r>
      <rPr>
        <vertAlign val="super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]</t>
    </r>
  </si>
  <si>
    <r>
      <t>A</t>
    </r>
    <r>
      <rPr>
        <vertAlign val="subscript"/>
        <sz val="12"/>
        <color theme="1"/>
        <rFont val="Aptos Narrow"/>
        <family val="2"/>
        <scheme val="minor"/>
      </rPr>
      <t>e</t>
    </r>
    <r>
      <rPr>
        <sz val="12"/>
        <color theme="1"/>
        <rFont val="Aptos Narrow"/>
        <family val="2"/>
        <scheme val="minor"/>
      </rPr>
      <t xml:space="preserve"> [m</t>
    </r>
    <r>
      <rPr>
        <vertAlign val="superscript"/>
        <sz val="12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]</t>
    </r>
  </si>
  <si>
    <r>
      <rPr>
        <sz val="12"/>
        <color theme="1"/>
        <rFont val="Calibri"/>
        <family val="2"/>
      </rPr>
      <t>ε</t>
    </r>
    <r>
      <rPr>
        <sz val="12"/>
        <color theme="1"/>
        <rFont val="Aptos Narrow"/>
        <family val="2"/>
        <scheme val="minor"/>
      </rPr>
      <t xml:space="preserve"> [-]</t>
    </r>
  </si>
  <si>
    <t>R [J/kg K]</t>
  </si>
  <si>
    <t>γ [-]</t>
  </si>
  <si>
    <t>Condizione di progetto</t>
  </si>
  <si>
    <r>
      <t>p</t>
    </r>
    <r>
      <rPr>
        <vertAlign val="subscript"/>
        <sz val="12"/>
        <color theme="1"/>
        <rFont val="Aptos Narrow"/>
        <family val="2"/>
        <scheme val="minor"/>
      </rPr>
      <t xml:space="preserve">c </t>
    </r>
    <r>
      <rPr>
        <sz val="12"/>
        <color theme="1"/>
        <rFont val="Aptos Narrow"/>
        <family val="2"/>
        <scheme val="minor"/>
      </rPr>
      <t>[bar]</t>
    </r>
  </si>
  <si>
    <t>x [m]</t>
  </si>
  <si>
    <t>r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</si>
</sst>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color theme="1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Design ugello preliminare MOC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'Wall Co-Ordinates'!$A$2:$A$47</c:f>
              <c:numCache>
                <c:formatCode>General</c:formatCode>
                <c:ptCount val="46"/>
                <c:pt idx="0">
                  <c:v>0</c:v>
                </c:pt>
                <c:pt idx="1">
                  <c:v>1.0758348780835541E-3</c:v>
                </c:pt>
                <c:pt idx="2">
                  <c:v>1.7965064262324135E-3</c:v>
                </c:pt>
                <c:pt idx="3">
                  <c:v>2.5288501342922657E-3</c:v>
                </c:pt>
                <c:pt idx="4">
                  <c:v>3.2732181761222674E-3</c:v>
                </c:pt>
                <c:pt idx="5">
                  <c:v>4.0299727166170241E-3</c:v>
                </c:pt>
                <c:pt idx="6">
                  <c:v>4.7994863315048795E-3</c:v>
                </c:pt>
                <c:pt idx="7">
                  <c:v>5.5821424483072325E-3</c:v>
                </c:pt>
                <c:pt idx="8">
                  <c:v>6.3783358099428634E-3</c:v>
                </c:pt>
                <c:pt idx="9">
                  <c:v>7.1884729625682469E-3</c:v>
                </c:pt>
                <c:pt idx="10">
                  <c:v>8.0129727693602458E-3</c:v>
                </c:pt>
                <c:pt idx="11">
                  <c:v>8.8522669520717714E-3</c:v>
                </c:pt>
                <c:pt idx="12">
                  <c:v>9.7068006623252396E-3</c:v>
                </c:pt>
                <c:pt idx="13">
                  <c:v>1.0577033084753168E-2</c:v>
                </c:pt>
                <c:pt idx="14">
                  <c:v>1.1463438074251518E-2</c:v>
                </c:pt>
                <c:pt idx="15">
                  <c:v>1.2366504829780077E-2</c:v>
                </c:pt>
                <c:pt idx="16">
                  <c:v>1.3286738607326418E-2</c:v>
                </c:pt>
                <c:pt idx="17">
                  <c:v>1.4224661474847184E-2</c:v>
                </c:pt>
                <c:pt idx="18">
                  <c:v>1.5180813112213979E-2</c:v>
                </c:pt>
                <c:pt idx="19">
                  <c:v>1.61557516594221E-2</c:v>
                </c:pt>
                <c:pt idx="20">
                  <c:v>1.7150054616571302E-2</c:v>
                </c:pt>
                <c:pt idx="21">
                  <c:v>1.8164319799399382E-2</c:v>
                </c:pt>
                <c:pt idx="22">
                  <c:v>1.919916635444514E-2</c:v>
                </c:pt>
                <c:pt idx="23">
                  <c:v>2.0255235838237941E-2</c:v>
                </c:pt>
                <c:pt idx="24">
                  <c:v>2.1333193365260902E-2</c:v>
                </c:pt>
                <c:pt idx="25">
                  <c:v>2.2433728829815019E-2</c:v>
                </c:pt>
                <c:pt idx="26">
                  <c:v>2.3557558207326607E-2</c:v>
                </c:pt>
                <c:pt idx="27">
                  <c:v>2.4705424941093523E-2</c:v>
                </c:pt>
                <c:pt idx="28">
                  <c:v>2.5878101420960128E-2</c:v>
                </c:pt>
                <c:pt idx="29">
                  <c:v>2.7076390560952845E-2</c:v>
                </c:pt>
                <c:pt idx="30">
                  <c:v>2.830112748350061E-2</c:v>
                </c:pt>
                <c:pt idx="31">
                  <c:v>2.9553181318514348E-2</c:v>
                </c:pt>
                <c:pt idx="32">
                  <c:v>3.0833457126313073E-2</c:v>
                </c:pt>
                <c:pt idx="33">
                  <c:v>3.2142897954167519E-2</c:v>
                </c:pt>
                <c:pt idx="34">
                  <c:v>3.3482487037094506E-2</c:v>
                </c:pt>
                <c:pt idx="35">
                  <c:v>3.4853250154483803E-2</c:v>
                </c:pt>
                <c:pt idx="36">
                  <c:v>3.6256258155186308E-2</c:v>
                </c:pt>
                <c:pt idx="37">
                  <c:v>3.769262966484694E-2</c:v>
                </c:pt>
                <c:pt idx="38">
                  <c:v>3.9163533990541975E-2</c:v>
                </c:pt>
                <c:pt idx="39">
                  <c:v>4.0670194239192506E-2</c:v>
                </c:pt>
                <c:pt idx="40">
                  <c:v>4.2213890667789987E-2</c:v>
                </c:pt>
                <c:pt idx="41">
                  <c:v>4.3795964285203402E-2</c:v>
                </c:pt>
                <c:pt idx="42">
                  <c:v>4.5417820727264233E-2</c:v>
                </c:pt>
                <c:pt idx="43">
                  <c:v>4.7080934428965271E-2</c:v>
                </c:pt>
                <c:pt idx="44">
                  <c:v>4.8786853119992347E-2</c:v>
                </c:pt>
                <c:pt idx="45">
                  <c:v>5.0537202672463227E-2</c:v>
                </c:pt>
              </c:numCache>
            </c:numRef>
          </c:xVal>
          <c:yVal>
            <c:numRef>
              <c:f>'Wall Co-Ordinates'!$B$2:$B$47</c:f>
              <c:numCache>
                <c:formatCode>General</c:formatCode>
                <c:ptCount val="46"/>
                <c:pt idx="0">
                  <c:v>0.02</c:v>
                </c:pt>
                <c:pt idx="1">
                  <c:v>2.0467275857268437E-2</c:v>
                </c:pt>
                <c:pt idx="2">
                  <c:v>2.0773334933031368E-2</c:v>
                </c:pt>
                <c:pt idx="3">
                  <c:v>2.107728246380159E-2</c:v>
                </c:pt>
                <c:pt idx="4">
                  <c:v>2.1379035896251817E-2</c:v>
                </c:pt>
                <c:pt idx="5">
                  <c:v>2.1678506433311196E-2</c:v>
                </c:pt>
                <c:pt idx="6">
                  <c:v>2.1975598810508201E-2</c:v>
                </c:pt>
                <c:pt idx="7">
                  <c:v>2.2270211060019748E-2</c:v>
                </c:pt>
                <c:pt idx="8">
                  <c:v>2.2562234261745313E-2</c:v>
                </c:pt>
                <c:pt idx="9">
                  <c:v>2.2851552280662824E-2</c:v>
                </c:pt>
                <c:pt idx="10">
                  <c:v>2.3138041489655706E-2</c:v>
                </c:pt>
                <c:pt idx="11">
                  <c:v>2.3421570476927112E-2</c:v>
                </c:pt>
                <c:pt idx="12">
                  <c:v>2.3701999737037734E-2</c:v>
                </c:pt>
                <c:pt idx="13">
                  <c:v>2.3979181344516931E-2</c:v>
                </c:pt>
                <c:pt idx="14">
                  <c:v>2.4252958608902545E-2</c:v>
                </c:pt>
                <c:pt idx="15">
                  <c:v>2.4523165709962304E-2</c:v>
                </c:pt>
                <c:pt idx="16">
                  <c:v>2.4789627311737925E-2</c:v>
                </c:pt>
                <c:pt idx="17">
                  <c:v>2.5052158153931463E-2</c:v>
                </c:pt>
                <c:pt idx="18">
                  <c:v>2.5310562619021086E-2</c:v>
                </c:pt>
                <c:pt idx="19">
                  <c:v>2.5564634273349068E-2</c:v>
                </c:pt>
                <c:pt idx="20">
                  <c:v>2.581415538026767E-2</c:v>
                </c:pt>
                <c:pt idx="21">
                  <c:v>2.6058896383256994E-2</c:v>
                </c:pt>
                <c:pt idx="22">
                  <c:v>2.6298615356741939E-2</c:v>
                </c:pt>
                <c:pt idx="23">
                  <c:v>2.6533057422131245E-2</c:v>
                </c:pt>
                <c:pt idx="24">
                  <c:v>2.6761954126378683E-2</c:v>
                </c:pt>
                <c:pt idx="25">
                  <c:v>2.6985022780122856E-2</c:v>
                </c:pt>
                <c:pt idx="26">
                  <c:v>2.7201965752195811E-2</c:v>
                </c:pt>
                <c:pt idx="27">
                  <c:v>2.7412469716999198E-2</c:v>
                </c:pt>
                <c:pt idx="28">
                  <c:v>2.7616204850927674E-2</c:v>
                </c:pt>
                <c:pt idx="29">
                  <c:v>2.7812823973669527E-2</c:v>
                </c:pt>
                <c:pt idx="30">
                  <c:v>2.8001961629831044E-2</c:v>
                </c:pt>
                <c:pt idx="31">
                  <c:v>2.8183233105909998E-2</c:v>
                </c:pt>
                <c:pt idx="32">
                  <c:v>2.8356233377181038E-2</c:v>
                </c:pt>
                <c:pt idx="33">
                  <c:v>2.8520535978546844E-2</c:v>
                </c:pt>
                <c:pt idx="34">
                  <c:v>2.8675691792848561E-2</c:v>
                </c:pt>
                <c:pt idx="35">
                  <c:v>2.8821227749511381E-2</c:v>
                </c:pt>
                <c:pt idx="36">
                  <c:v>2.8956645425719706E-2</c:v>
                </c:pt>
                <c:pt idx="37">
                  <c:v>2.9081419541563253E-2</c:v>
                </c:pt>
                <c:pt idx="38">
                  <c:v>2.9194996339762927E-2</c:v>
                </c:pt>
                <c:pt idx="39">
                  <c:v>2.929679183966306E-2</c:v>
                </c:pt>
                <c:pt idx="40">
                  <c:v>2.9386189954154391E-2</c:v>
                </c:pt>
                <c:pt idx="41">
                  <c:v>2.9462540457057207E-2</c:v>
                </c:pt>
                <c:pt idx="42">
                  <c:v>2.9525156787232776E-2</c:v>
                </c:pt>
                <c:pt idx="43">
                  <c:v>2.9573313674287265E-2</c:v>
                </c:pt>
                <c:pt idx="44">
                  <c:v>2.9606244569167914E-2</c:v>
                </c:pt>
                <c:pt idx="45">
                  <c:v>2.9623138861205392E-2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E-47ED-BEB7-0B6752B49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654608"/>
        <c:axId val="1868541920"/>
      </c:scatterChart>
      <c:valAx>
        <c:axId val="187065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x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8541920"/>
        <c:crosses val="autoZero"/>
        <c:crossBetween val="midCat"/>
      </c:valAx>
      <c:valAx>
        <c:axId val="186854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r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65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419099</xdr:colOff>
      <xdr:row>4</xdr:row>
      <xdr:rowOff>14286</xdr:rowOff>
    </xdr:from>
    <xdr:to>
      <xdr:col>17</xdr:col>
      <xdr:colOff>247650</xdr:colOff>
      <xdr:row>30</xdr:row>
      <xdr:rowOff>38100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8289F78-61F7-2D0A-DDF5-D8D5A3658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00A3-5B53-45E2-B6E9-EAC844E9F614}">
  <dimension ref="A1:K47"/>
  <sheetViews>
    <sheetView tabSelected="1" workbookViewId="0">
      <selection activeCell="T26" sqref="T26"/>
    </sheetView>
  </sheetViews>
  <sheetFormatPr defaultRowHeight="15" x14ac:dyDescent="0.25"/>
  <cols>
    <col min="5" max="5" width="12" bestFit="1" customWidth="1"/>
    <col min="6" max="6" width="11" bestFit="1" customWidth="1"/>
    <col min="8" max="8" width="5.5703125" bestFit="1" customWidth="1"/>
    <col min="9" max="9" width="11.140625" bestFit="1" customWidth="1"/>
  </cols>
  <sheetData>
    <row r="1" spans="1:11" ht="26.25" customHeight="1" thickBot="1" x14ac:dyDescent="0.3">
      <c r="A1" s="6" t="s">
        <v>9</v>
      </c>
      <c r="B1" s="9" t="s">
        <v>10</v>
      </c>
      <c r="C1" s="1"/>
      <c r="D1" s="15" t="s">
        <v>7</v>
      </c>
      <c r="E1" s="16"/>
      <c r="F1" s="16"/>
      <c r="G1" s="16"/>
      <c r="H1" s="16"/>
      <c r="I1" s="16"/>
      <c r="J1" s="16"/>
      <c r="K1" s="17"/>
    </row>
    <row r="2" spans="1:11" ht="19.5" thickBot="1" x14ac:dyDescent="0.3">
      <c r="A2" s="2">
        <v>0</v>
      </c>
      <c r="B2" s="3">
        <v>0.02</v>
      </c>
      <c r="C2" s="1"/>
      <c r="D2" s="6" t="s">
        <v>0</v>
      </c>
      <c r="E2" s="7" t="s">
        <v>1</v>
      </c>
      <c r="F2" s="7" t="s">
        <v>2</v>
      </c>
      <c r="G2" s="7" t="s">
        <v>3</v>
      </c>
      <c r="H2" s="7" t="s">
        <v>4</v>
      </c>
      <c r="I2" s="7" t="s">
        <v>5</v>
      </c>
      <c r="J2" s="8" t="s">
        <v>6</v>
      </c>
      <c r="K2" s="9" t="s">
        <v>8</v>
      </c>
    </row>
    <row r="3" spans="1:11" ht="15.75" thickBot="1" x14ac:dyDescent="0.3">
      <c r="A3" s="4">
        <v>1.0758348780835541E-3</v>
      </c>
      <c r="B3" s="5">
        <v>2.0467275857268437E-2</v>
      </c>
      <c r="C3" s="1"/>
      <c r="D3" s="10">
        <v>0.02</v>
      </c>
      <c r="E3" s="11">
        <f>B47</f>
        <v>2.9623138861205392E-2</v>
      </c>
      <c r="F3" s="12">
        <f>PI()*D3^2</f>
        <v>1.2566370614359172E-3</v>
      </c>
      <c r="G3" s="12">
        <f>PI()*E3^2</f>
        <v>2.7568429196810277E-3</v>
      </c>
      <c r="H3" s="14">
        <f>G3/F3</f>
        <v>2.1938258899756429</v>
      </c>
      <c r="I3" s="12">
        <v>282.13</v>
      </c>
      <c r="J3" s="12">
        <v>1.26</v>
      </c>
      <c r="K3" s="13">
        <v>25</v>
      </c>
    </row>
    <row r="4" spans="1:11" x14ac:dyDescent="0.25">
      <c r="A4" s="4">
        <v>1.7965064262324135E-3</v>
      </c>
      <c r="B4" s="5">
        <v>2.0773334933031368E-2</v>
      </c>
      <c r="C4" s="1"/>
      <c r="D4" s="1"/>
      <c r="E4" s="1"/>
      <c r="F4" s="1"/>
      <c r="G4" s="1"/>
    </row>
    <row r="5" spans="1:11" x14ac:dyDescent="0.25">
      <c r="A5" s="4">
        <v>2.5288501342922657E-3</v>
      </c>
      <c r="B5" s="5">
        <v>2.107728246380159E-2</v>
      </c>
      <c r="C5" s="1"/>
      <c r="D5" s="1"/>
      <c r="E5" s="1"/>
      <c r="F5" s="1"/>
      <c r="G5" s="1"/>
    </row>
    <row r="6" spans="1:11" x14ac:dyDescent="0.25">
      <c r="A6" s="4">
        <v>3.2732181761222674E-3</v>
      </c>
      <c r="B6" s="5">
        <v>2.1379035896251817E-2</v>
      </c>
      <c r="C6" s="1"/>
      <c r="D6" s="1"/>
      <c r="E6" s="1"/>
      <c r="F6" s="1"/>
      <c r="G6" s="1"/>
    </row>
    <row r="7" spans="1:11" x14ac:dyDescent="0.25">
      <c r="A7" s="4">
        <v>4.0299727166170241E-3</v>
      </c>
      <c r="B7" s="5">
        <v>2.1678506433311196E-2</v>
      </c>
      <c r="C7" s="1"/>
      <c r="D7" s="1"/>
      <c r="E7" s="1"/>
      <c r="F7" s="1"/>
      <c r="G7" s="1"/>
    </row>
    <row r="8" spans="1:11" x14ac:dyDescent="0.25">
      <c r="A8" s="4">
        <v>4.7994863315048795E-3</v>
      </c>
      <c r="B8" s="5">
        <v>2.1975598810508201E-2</v>
      </c>
      <c r="C8" s="1"/>
      <c r="D8" s="1"/>
      <c r="E8" s="1"/>
      <c r="F8" s="1"/>
      <c r="G8" s="1"/>
    </row>
    <row r="9" spans="1:11" x14ac:dyDescent="0.25">
      <c r="A9" s="4">
        <v>5.5821424483072325E-3</v>
      </c>
      <c r="B9" s="5">
        <v>2.2270211060019748E-2</v>
      </c>
      <c r="C9" s="1"/>
      <c r="D9" s="1"/>
      <c r="E9" s="1"/>
      <c r="F9" s="1"/>
      <c r="G9" s="1"/>
    </row>
    <row r="10" spans="1:11" x14ac:dyDescent="0.25">
      <c r="A10" s="4">
        <v>6.3783358099428634E-3</v>
      </c>
      <c r="B10" s="5">
        <v>2.2562234261745313E-2</v>
      </c>
      <c r="C10" s="1"/>
      <c r="D10" s="1"/>
      <c r="E10" s="1"/>
      <c r="F10" s="1"/>
      <c r="G10" s="1"/>
    </row>
    <row r="11" spans="1:11" x14ac:dyDescent="0.25">
      <c r="A11" s="4">
        <v>7.1884729625682469E-3</v>
      </c>
      <c r="B11" s="5">
        <v>2.2851552280662824E-2</v>
      </c>
      <c r="C11" s="1"/>
      <c r="D11" s="1"/>
      <c r="E11" s="1"/>
      <c r="F11" s="1"/>
      <c r="G11" s="1"/>
    </row>
    <row r="12" spans="1:11" x14ac:dyDescent="0.25">
      <c r="A12" s="4">
        <v>8.0129727693602458E-3</v>
      </c>
      <c r="B12" s="5">
        <v>2.3138041489655706E-2</v>
      </c>
      <c r="C12" s="1"/>
      <c r="D12" s="1"/>
      <c r="E12" s="1"/>
      <c r="F12" s="1"/>
      <c r="G12" s="1"/>
    </row>
    <row r="13" spans="1:11" x14ac:dyDescent="0.25">
      <c r="A13" s="4">
        <v>8.8522669520717714E-3</v>
      </c>
      <c r="B13" s="5">
        <v>2.3421570476927112E-2</v>
      </c>
      <c r="C13" s="1"/>
      <c r="D13" s="1"/>
      <c r="E13" s="1"/>
      <c r="F13" s="1"/>
      <c r="G13" s="1"/>
    </row>
    <row r="14" spans="1:11" x14ac:dyDescent="0.25">
      <c r="A14" s="4">
        <v>9.7068006623252396E-3</v>
      </c>
      <c r="B14" s="5">
        <v>2.3701999737037734E-2</v>
      </c>
      <c r="C14" s="1"/>
      <c r="D14" s="1"/>
      <c r="E14" s="1"/>
      <c r="F14" s="1"/>
      <c r="G14" s="1"/>
    </row>
    <row r="15" spans="1:11" x14ac:dyDescent="0.25">
      <c r="A15" s="4">
        <v>1.0577033084753168E-2</v>
      </c>
      <c r="B15" s="5">
        <v>2.3979181344516931E-2</v>
      </c>
      <c r="C15" s="1"/>
      <c r="D15" s="1"/>
      <c r="E15" s="1"/>
      <c r="F15" s="1"/>
      <c r="G15" s="1"/>
    </row>
    <row r="16" spans="1:11" x14ac:dyDescent="0.25">
      <c r="A16" s="4">
        <v>1.1463438074251518E-2</v>
      </c>
      <c r="B16" s="5">
        <v>2.4252958608902545E-2</v>
      </c>
      <c r="C16" s="1"/>
      <c r="D16" s="1"/>
      <c r="E16" s="1"/>
      <c r="F16" s="1"/>
      <c r="G16" s="1"/>
    </row>
    <row r="17" spans="1:7" x14ac:dyDescent="0.25">
      <c r="A17" s="4">
        <v>1.2366504829780077E-2</v>
      </c>
      <c r="B17" s="5">
        <v>2.4523165709962304E-2</v>
      </c>
      <c r="C17" s="1"/>
      <c r="D17" s="1"/>
      <c r="E17" s="1"/>
      <c r="F17" s="1"/>
      <c r="G17" s="1"/>
    </row>
    <row r="18" spans="1:7" x14ac:dyDescent="0.25">
      <c r="A18" s="4">
        <v>1.3286738607326418E-2</v>
      </c>
      <c r="B18" s="5">
        <v>2.4789627311737925E-2</v>
      </c>
      <c r="C18" s="1"/>
      <c r="D18" s="1"/>
      <c r="E18" s="1"/>
      <c r="F18" s="1"/>
      <c r="G18" s="1"/>
    </row>
    <row r="19" spans="1:7" x14ac:dyDescent="0.25">
      <c r="A19" s="4">
        <v>1.4224661474847184E-2</v>
      </c>
      <c r="B19" s="5">
        <v>2.5052158153931463E-2</v>
      </c>
      <c r="C19" s="1"/>
      <c r="D19" s="1"/>
      <c r="E19" s="1"/>
      <c r="F19" s="1"/>
      <c r="G19" s="1"/>
    </row>
    <row r="20" spans="1:7" x14ac:dyDescent="0.25">
      <c r="A20" s="4">
        <v>1.5180813112213979E-2</v>
      </c>
      <c r="B20" s="5">
        <v>2.5310562619021086E-2</v>
      </c>
      <c r="C20" s="1"/>
      <c r="D20" s="1"/>
      <c r="E20" s="1"/>
      <c r="F20" s="1"/>
      <c r="G20" s="1"/>
    </row>
    <row r="21" spans="1:7" x14ac:dyDescent="0.25">
      <c r="A21" s="4">
        <v>1.61557516594221E-2</v>
      </c>
      <c r="B21" s="5">
        <v>2.5564634273349068E-2</v>
      </c>
      <c r="C21" s="1"/>
      <c r="D21" s="1"/>
      <c r="E21" s="1"/>
      <c r="F21" s="1"/>
      <c r="G21" s="1"/>
    </row>
    <row r="22" spans="1:7" x14ac:dyDescent="0.25">
      <c r="A22" s="4">
        <v>1.7150054616571302E-2</v>
      </c>
      <c r="B22" s="5">
        <v>2.581415538026767E-2</v>
      </c>
      <c r="C22" s="1"/>
      <c r="D22" s="1"/>
      <c r="E22" s="1"/>
      <c r="F22" s="1"/>
      <c r="G22" s="1"/>
    </row>
    <row r="23" spans="1:7" x14ac:dyDescent="0.25">
      <c r="A23" s="4">
        <v>1.8164319799399382E-2</v>
      </c>
      <c r="B23" s="5">
        <v>2.6058896383256994E-2</v>
      </c>
      <c r="C23" s="1"/>
      <c r="D23" s="1"/>
      <c r="E23" s="1"/>
      <c r="F23" s="1"/>
      <c r="G23" s="1"/>
    </row>
    <row r="24" spans="1:7" x14ac:dyDescent="0.25">
      <c r="A24" s="4">
        <v>1.919916635444514E-2</v>
      </c>
      <c r="B24" s="5">
        <v>2.6298615356741939E-2</v>
      </c>
      <c r="C24" s="1"/>
      <c r="D24" s="1"/>
      <c r="E24" s="1"/>
      <c r="F24" s="1"/>
      <c r="G24" s="1"/>
    </row>
    <row r="25" spans="1:7" x14ac:dyDescent="0.25">
      <c r="A25" s="4">
        <v>2.0255235838237941E-2</v>
      </c>
      <c r="B25" s="5">
        <v>2.6533057422131245E-2</v>
      </c>
      <c r="C25" s="1"/>
      <c r="D25" s="1"/>
      <c r="E25" s="1"/>
      <c r="F25" s="1"/>
      <c r="G25" s="1"/>
    </row>
    <row r="26" spans="1:7" x14ac:dyDescent="0.25">
      <c r="A26" s="4">
        <v>2.1333193365260902E-2</v>
      </c>
      <c r="B26" s="5">
        <v>2.6761954126378683E-2</v>
      </c>
      <c r="C26" s="1"/>
      <c r="D26" s="1"/>
      <c r="E26" s="1"/>
      <c r="F26" s="1"/>
      <c r="G26" s="1"/>
    </row>
    <row r="27" spans="1:7" x14ac:dyDescent="0.25">
      <c r="A27" s="4">
        <v>2.2433728829815019E-2</v>
      </c>
      <c r="B27" s="5">
        <v>2.6985022780122856E-2</v>
      </c>
      <c r="C27" s="1"/>
      <c r="D27" s="1"/>
      <c r="E27" s="1"/>
      <c r="F27" s="1"/>
      <c r="G27" s="1"/>
    </row>
    <row r="28" spans="1:7" x14ac:dyDescent="0.25">
      <c r="A28" s="4">
        <v>2.3557558207326607E-2</v>
      </c>
      <c r="B28" s="5">
        <v>2.7201965752195811E-2</v>
      </c>
      <c r="C28" s="1"/>
      <c r="D28" s="1"/>
      <c r="E28" s="1"/>
      <c r="F28" s="1"/>
      <c r="G28" s="1"/>
    </row>
    <row r="29" spans="1:7" x14ac:dyDescent="0.25">
      <c r="A29" s="4">
        <v>2.4705424941093523E-2</v>
      </c>
      <c r="B29" s="5">
        <v>2.7412469716999198E-2</v>
      </c>
      <c r="C29" s="1"/>
      <c r="D29" s="1"/>
      <c r="E29" s="1"/>
      <c r="F29" s="1"/>
      <c r="G29" s="1"/>
    </row>
    <row r="30" spans="1:7" x14ac:dyDescent="0.25">
      <c r="A30" s="4">
        <v>2.5878101420960128E-2</v>
      </c>
      <c r="B30" s="5">
        <v>2.7616204850927674E-2</v>
      </c>
      <c r="C30" s="1"/>
      <c r="D30" s="1"/>
      <c r="E30" s="1"/>
      <c r="F30" s="1"/>
      <c r="G30" s="1"/>
    </row>
    <row r="31" spans="1:7" x14ac:dyDescent="0.25">
      <c r="A31" s="4">
        <v>2.7076390560952845E-2</v>
      </c>
      <c r="B31" s="5">
        <v>2.7812823973669527E-2</v>
      </c>
      <c r="C31" s="1"/>
      <c r="D31" s="1"/>
      <c r="E31" s="1"/>
      <c r="F31" s="1"/>
      <c r="G31" s="1"/>
    </row>
    <row r="32" spans="1:7" x14ac:dyDescent="0.25">
      <c r="A32" s="4">
        <v>2.830112748350061E-2</v>
      </c>
      <c r="B32" s="5">
        <v>2.8001961629831044E-2</v>
      </c>
      <c r="C32" s="1"/>
      <c r="D32" s="1"/>
      <c r="E32" s="1"/>
      <c r="F32" s="1"/>
      <c r="G32" s="1"/>
    </row>
    <row r="33" spans="1:7" x14ac:dyDescent="0.25">
      <c r="A33" s="4">
        <v>2.9553181318514348E-2</v>
      </c>
      <c r="B33" s="5">
        <v>2.8183233105909998E-2</v>
      </c>
      <c r="C33" s="1"/>
      <c r="D33" s="1"/>
      <c r="E33" s="1"/>
      <c r="F33" s="1"/>
      <c r="G33" s="1"/>
    </row>
    <row r="34" spans="1:7" x14ac:dyDescent="0.25">
      <c r="A34" s="4">
        <v>3.0833457126313073E-2</v>
      </c>
      <c r="B34" s="5">
        <v>2.8356233377181038E-2</v>
      </c>
      <c r="C34" s="1"/>
      <c r="D34" s="1"/>
      <c r="E34" s="1"/>
      <c r="F34" s="1"/>
      <c r="G34" s="1"/>
    </row>
    <row r="35" spans="1:7" x14ac:dyDescent="0.25">
      <c r="A35" s="4">
        <v>3.2142897954167519E-2</v>
      </c>
      <c r="B35" s="5">
        <v>2.8520535978546844E-2</v>
      </c>
      <c r="C35" s="1"/>
      <c r="D35" s="1"/>
      <c r="E35" s="1"/>
      <c r="F35" s="1"/>
      <c r="G35" s="1"/>
    </row>
    <row r="36" spans="1:7" x14ac:dyDescent="0.25">
      <c r="A36" s="4">
        <v>3.3482487037094506E-2</v>
      </c>
      <c r="B36" s="5">
        <v>2.8675691792848561E-2</v>
      </c>
      <c r="C36" s="1"/>
      <c r="D36" s="1"/>
      <c r="E36" s="1"/>
      <c r="F36" s="1"/>
      <c r="G36" s="1"/>
    </row>
    <row r="37" spans="1:7" x14ac:dyDescent="0.25">
      <c r="A37" s="4">
        <v>3.4853250154483803E-2</v>
      </c>
      <c r="B37" s="5">
        <v>2.8821227749511381E-2</v>
      </c>
      <c r="C37" s="1"/>
      <c r="D37" s="1"/>
      <c r="E37" s="1"/>
      <c r="F37" s="1"/>
      <c r="G37" s="1"/>
    </row>
    <row r="38" spans="1:7" x14ac:dyDescent="0.25">
      <c r="A38" s="4">
        <v>3.6256258155186308E-2</v>
      </c>
      <c r="B38" s="5">
        <v>2.8956645425719706E-2</v>
      </c>
      <c r="C38" s="1"/>
      <c r="D38" s="1"/>
      <c r="E38" s="1"/>
      <c r="F38" s="1"/>
      <c r="G38" s="1"/>
    </row>
    <row r="39" spans="1:7" x14ac:dyDescent="0.25">
      <c r="A39" s="4">
        <v>3.769262966484694E-2</v>
      </c>
      <c r="B39" s="5">
        <v>2.9081419541563253E-2</v>
      </c>
      <c r="C39" s="1"/>
      <c r="D39" s="1"/>
      <c r="E39" s="1"/>
      <c r="F39" s="1"/>
      <c r="G39" s="1"/>
    </row>
    <row r="40" spans="1:7" x14ac:dyDescent="0.25">
      <c r="A40" s="4">
        <v>3.9163533990541975E-2</v>
      </c>
      <c r="B40" s="5">
        <v>2.9194996339762927E-2</v>
      </c>
      <c r="C40" s="1"/>
      <c r="D40" s="1"/>
      <c r="E40" s="1"/>
      <c r="F40" s="1"/>
      <c r="G40" s="1"/>
    </row>
    <row r="41" spans="1:7" x14ac:dyDescent="0.25">
      <c r="A41" s="4">
        <v>4.0670194239192506E-2</v>
      </c>
      <c r="B41" s="5">
        <v>2.929679183966306E-2</v>
      </c>
      <c r="C41" s="1"/>
      <c r="D41" s="1"/>
      <c r="E41" s="1"/>
      <c r="F41" s="1"/>
      <c r="G41" s="1"/>
    </row>
    <row r="42" spans="1:7" x14ac:dyDescent="0.25">
      <c r="A42" s="4">
        <v>4.2213890667789987E-2</v>
      </c>
      <c r="B42" s="5">
        <v>2.9386189954154391E-2</v>
      </c>
      <c r="C42" s="1"/>
      <c r="D42" s="1"/>
      <c r="E42" s="1"/>
      <c r="F42" s="1"/>
      <c r="G42" s="1"/>
    </row>
    <row r="43" spans="1:7" x14ac:dyDescent="0.25">
      <c r="A43" s="4">
        <v>4.3795964285203402E-2</v>
      </c>
      <c r="B43" s="5">
        <v>2.9462540457057207E-2</v>
      </c>
      <c r="C43" s="1"/>
      <c r="D43" s="1"/>
      <c r="E43" s="1"/>
      <c r="F43" s="1"/>
      <c r="G43" s="1"/>
    </row>
    <row r="44" spans="1:7" x14ac:dyDescent="0.25">
      <c r="A44" s="4">
        <v>4.5417820727264233E-2</v>
      </c>
      <c r="B44" s="5">
        <v>2.9525156787232776E-2</v>
      </c>
      <c r="C44" s="1"/>
      <c r="D44" s="1"/>
      <c r="E44" s="1"/>
      <c r="F44" s="1"/>
      <c r="G44" s="1"/>
    </row>
    <row r="45" spans="1:7" x14ac:dyDescent="0.25">
      <c r="A45" s="4">
        <v>4.7080934428965271E-2</v>
      </c>
      <c r="B45" s="5">
        <v>2.9573313674287265E-2</v>
      </c>
      <c r="C45" s="1"/>
      <c r="D45" s="1"/>
      <c r="E45" s="1"/>
      <c r="F45" s="1"/>
      <c r="G45" s="1"/>
    </row>
    <row r="46" spans="1:7" x14ac:dyDescent="0.25">
      <c r="A46" s="4">
        <v>4.8786853119992347E-2</v>
      </c>
      <c r="B46" s="5">
        <v>2.9606244569167914E-2</v>
      </c>
      <c r="C46" s="1"/>
      <c r="D46" s="1"/>
      <c r="E46" s="1"/>
      <c r="F46" s="1"/>
      <c r="G46" s="1"/>
    </row>
    <row r="47" spans="1:7" x14ac:dyDescent="0.25">
      <c r="A47" s="4">
        <v>5.0537202672463227E-2</v>
      </c>
      <c r="B47" s="5">
        <v>2.9623138861205392E-2</v>
      </c>
      <c r="C47" s="1"/>
      <c r="D47" s="1"/>
      <c r="E47" s="1"/>
      <c r="F47" s="1"/>
      <c r="G47" s="1"/>
    </row>
  </sheetData>
  <mergeCells count="1">
    <mergeCell ref="D1:K1"/>
  </mergeCells>
  <pageMargins left="0.7" right="0.7" top="0.75" bottom="0.75" header="0.3" footer="0.3"/>
  <ignoredErrors>
    <ignoredError sqref="G3:H3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Wall Co-Ordinates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Proli  Lorenzo</dc:creator>
  <cp:lastModifiedBy>Proli  Lorenzo</cp:lastModifiedBy>
  <dcterms:created xsi:type="dcterms:W3CDTF">2025-12-13T16:28:31Z</dcterms:created>
  <dcterms:modified xsi:type="dcterms:W3CDTF">2025-12-14T15:27:08Z</dcterms:modified>
</cp:coreProperties>
</file>